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Calculator" sheetId="1" state="visible" r:id="rId1"/>
    <sheet name="Tax Brackets Reference" sheetId="2" state="visible" r:id="rId2"/>
    <sheet name="Optimization Tips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&quot;%&quot;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</font>
    <font>
      <i val="1"/>
      <sz val="9"/>
    </font>
    <font>
      <i val="1"/>
      <color rgb="00666666"/>
      <sz val="9"/>
    </font>
    <font>
      <b val="1"/>
      <sz val="12"/>
    </font>
    <font>
      <color rgb="00FF0000"/>
      <sz val="9"/>
    </font>
    <font>
      <b val="1"/>
      <color rgb="00FF0000"/>
      <sz val="14"/>
    </font>
    <font>
      <i val="1"/>
      <color rgb="00FF6600"/>
      <sz val="9"/>
    </font>
    <font>
      <b val="1"/>
      <sz val="14"/>
    </font>
    <font>
      <i val="1"/>
      <color rgb="00FF0000"/>
      <sz val="9"/>
    </font>
    <font>
      <b val="1"/>
      <color rgb="00FF6600"/>
      <sz val="11"/>
    </font>
    <font>
      <b val="1"/>
      <color rgb="004472C4"/>
      <sz val="11"/>
    </font>
    <font>
      <sz val="10"/>
    </font>
    <font>
      <b val="1"/>
      <color rgb="00FF0000"/>
      <sz val="12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4C7E7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F6600"/>
      </patternFill>
    </fill>
    <fill>
      <patternFill patternType="solid">
        <f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4" fontId="4" fillId="3" borderId="0" applyAlignment="1" pivotButton="0" quotePrefix="0" xfId="0">
      <alignment horizontal="right"/>
    </xf>
    <xf numFmtId="0" fontId="5" fillId="0" borderId="0" pivotButton="0" quotePrefix="0" xfId="0"/>
    <xf numFmtId="4" fontId="0" fillId="4" borderId="0" applyAlignment="1" pivotButton="0" quotePrefix="0" xfId="0">
      <alignment horizontal="right"/>
    </xf>
    <xf numFmtId="0" fontId="6" fillId="0" borderId="0" pivotButton="0" quotePrefix="0" xfId="0"/>
    <xf numFmtId="4" fontId="7" fillId="5" borderId="0" applyAlignment="1" pivotButton="0" quotePrefix="0" xfId="0">
      <alignment horizontal="right"/>
    </xf>
    <xf numFmtId="0" fontId="8" fillId="0" borderId="0" pivotButton="0" quotePrefix="0" xfId="0"/>
    <xf numFmtId="4" fontId="9" fillId="5" borderId="0" applyAlignment="1" pivotButton="0" quotePrefix="0" xfId="0">
      <alignment horizontal="right"/>
    </xf>
    <xf numFmtId="4" fontId="4" fillId="5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10" fillId="0" borderId="0" pivotButton="0" quotePrefix="0" xfId="0"/>
    <xf numFmtId="4" fontId="4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0" fontId="3" fillId="6" borderId="0" applyAlignment="1" pivotButton="0" quotePrefix="0" xfId="0">
      <alignment horizontal="left" vertical="center"/>
    </xf>
    <xf numFmtId="4" fontId="0" fillId="0" borderId="0" pivotButton="0" quotePrefix="0" xfId="0"/>
    <xf numFmtId="4" fontId="1" fillId="6" borderId="0" applyAlignment="1" pivotButton="0" quotePrefix="0" xfId="0">
      <alignment horizontal="right"/>
    </xf>
    <xf numFmtId="164" fontId="11" fillId="7" borderId="0" pivotButton="0" quotePrefix="0" xfId="0"/>
    <xf numFmtId="4" fontId="11" fillId="5" borderId="0" pivotButton="0" quotePrefix="0" xfId="0"/>
    <xf numFmtId="0" fontId="12" fillId="0" borderId="0" applyAlignment="1" pivotButton="0" quotePrefix="0" xfId="0">
      <alignment wrapText="1"/>
    </xf>
    <xf numFmtId="0" fontId="11" fillId="0" borderId="0" pivotButton="0" quotePrefix="0" xfId="0"/>
    <xf numFmtId="0" fontId="3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wrapText="1"/>
    </xf>
    <xf numFmtId="0" fontId="16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18" customWidth="1" min="4" max="4"/>
    <col width="30" customWidth="1" min="5" max="5"/>
  </cols>
  <sheetData>
    <row r="1" ht="30" customHeight="1">
      <c r="A1" s="1" t="inlineStr">
        <is>
          <t>SWISS TAX CALCULATOR 2025 - CITY OF ZÜRICH</t>
        </is>
      </c>
    </row>
    <row r="2">
      <c r="A2" s="2" t="inlineStr">
        <is>
          <t>Single Employed Person | Federal + Cantonal + Municipal + Wealth Tax</t>
        </is>
      </c>
    </row>
    <row r="4" ht="25" customHeight="1">
      <c r="A4" s="3" t="inlineStr">
        <is>
          <t>A. INCOME &amp; GROSS SALARY</t>
        </is>
      </c>
    </row>
    <row r="5">
      <c r="A5" t="inlineStr">
        <is>
          <t>Gross Annual Salary (CHF)</t>
        </is>
      </c>
      <c r="B5" s="4" t="n">
        <v>0</v>
      </c>
      <c r="C5" s="5" t="inlineStr">
        <is>
          <t>Enter your total annual salary</t>
        </is>
      </c>
    </row>
    <row r="6">
      <c r="A6" t="inlineStr">
        <is>
          <t>AHV/IV/EO (5.3% of salary)</t>
        </is>
      </c>
      <c r="B6" s="6">
        <f>B5*0.053</f>
        <v/>
      </c>
      <c r="C6" s="7" t="inlineStr">
        <is>
          <t>Auto-calculated (employee portion)</t>
        </is>
      </c>
    </row>
    <row r="7">
      <c r="A7" t="inlineStr">
        <is>
          <t>Unemployment ALV (1.1% up to CHF 148,200)</t>
        </is>
      </c>
      <c r="B7" s="6">
        <f>MIN(B5,148200)*0.011</f>
        <v/>
      </c>
      <c r="C7" s="7" t="inlineStr">
        <is>
          <t>Auto-calculated (capped at CHF 148,200)</t>
        </is>
      </c>
    </row>
    <row r="8">
      <c r="A8" t="inlineStr">
        <is>
          <t>Other Employment Income</t>
        </is>
      </c>
      <c r="B8" s="4" t="n">
        <v>0</v>
      </c>
      <c r="C8" t="inlineStr">
        <is>
          <t>Bonuses, commissions, etc.</t>
        </is>
      </c>
    </row>
    <row r="9">
      <c r="A9" t="inlineStr">
        <is>
          <t>Investment Income (Dividends/Interest)</t>
        </is>
      </c>
      <c r="B9" s="4" t="n">
        <v>0</v>
      </c>
      <c r="C9" t="inlineStr">
        <is>
          <t>Taxable investment income</t>
        </is>
      </c>
    </row>
    <row r="10">
      <c r="A10" t="inlineStr">
        <is>
          <t>Rental Income</t>
        </is>
      </c>
      <c r="B10" s="4" t="n">
        <v>0</v>
      </c>
      <c r="C10" t="inlineStr">
        <is>
          <t>Net rental income (if applicable)</t>
        </is>
      </c>
    </row>
    <row r="11">
      <c r="A11" t="inlineStr">
        <is>
          <t>Other Income</t>
        </is>
      </c>
      <c r="B11" s="4" t="n">
        <v>0</v>
      </c>
      <c r="C11" t="inlineStr">
        <is>
          <t>Any other taxable income</t>
        </is>
      </c>
    </row>
    <row r="12">
      <c r="A12" t="inlineStr">
        <is>
          <t>TOTAL GROSS INCOME</t>
        </is>
      </c>
      <c r="B12" s="8">
        <f>SUM(B5:B11)</f>
        <v/>
      </c>
    </row>
    <row r="14" ht="25" customHeight="1">
      <c r="A14" s="3" t="inlineStr">
        <is>
          <t>B. DEDUCTIONS</t>
        </is>
      </c>
    </row>
    <row r="15">
      <c r="A15" t="inlineStr">
        <is>
          <t>Pillar 3a Contributions</t>
        </is>
      </c>
      <c r="B15" s="4" t="n">
        <v>0</v>
      </c>
      <c r="C15" s="9" t="inlineStr">
        <is>
          <t>Max CHF 7,258 for 2025</t>
        </is>
      </c>
    </row>
    <row r="16">
      <c r="A16" t="inlineStr">
        <is>
          <t>Pillar 2 Buyback</t>
        </is>
      </c>
      <c r="B16" s="4" t="n">
        <v>0</v>
      </c>
      <c r="C16" t="inlineStr">
        <is>
          <t>Voluntary pension buyback</t>
        </is>
      </c>
    </row>
    <row r="17">
      <c r="A17" t="inlineStr">
        <is>
          <t>Health Insurance Premiums (Krankenversicherung)</t>
        </is>
      </c>
      <c r="B17" s="4" t="n">
        <v>0</v>
      </c>
      <c r="C17" t="inlineStr">
        <is>
          <t>Annual health insurance cost</t>
        </is>
      </c>
    </row>
    <row r="18">
      <c r="A18" t="inlineStr">
        <is>
          <t>Other Insurance (Life, Accident, etc.)</t>
        </is>
      </c>
      <c r="B18" s="4" t="n">
        <v>0</v>
      </c>
      <c r="C18" t="inlineStr">
        <is>
          <t>Max CHF 3,700 (federal)</t>
        </is>
      </c>
    </row>
    <row r="19">
      <c r="A19" t="inlineStr">
        <is>
          <t>Commuting Costs</t>
        </is>
      </c>
      <c r="B19" s="4" t="n">
        <v>0</v>
      </c>
      <c r="C19" t="inlineStr">
        <is>
          <t>Public transport or mileage</t>
        </is>
      </c>
    </row>
    <row r="20">
      <c r="A20" t="inlineStr">
        <is>
          <t>Working Days (for meal deductions)</t>
        </is>
      </c>
      <c r="B20" s="4" t="n">
        <v>220</v>
      </c>
      <c r="C20" t="inlineStr">
        <is>
          <t>Typical: 220 days/year</t>
        </is>
      </c>
    </row>
    <row r="21">
      <c r="A21" t="inlineStr">
        <is>
          <t>Meal Expense Rate (CHF per day)</t>
        </is>
      </c>
      <c r="B21" s="4" t="n">
        <v>15</v>
      </c>
      <c r="C21" t="inlineStr">
        <is>
          <t>15 = no canteen, 7.50 = with canteen</t>
        </is>
      </c>
    </row>
    <row r="22">
      <c r="A22" t="inlineStr">
        <is>
          <t>Total Meal Expenses</t>
        </is>
      </c>
      <c r="B22" s="6">
        <f>B20*B21</f>
        <v/>
      </c>
      <c r="C22" s="7" t="inlineStr">
        <is>
          <t>Auto-calculated</t>
        </is>
      </c>
    </row>
    <row r="23">
      <c r="A23" t="inlineStr">
        <is>
          <t>Professional Expenses (3% flat-rate)</t>
        </is>
      </c>
      <c r="B23" s="6">
        <f>MIN(B12*0.03, 4000)</f>
        <v/>
      </c>
      <c r="C23" s="7" t="inlineStr">
        <is>
          <t>Max CHF 4,000 (federal)</t>
        </is>
      </c>
    </row>
    <row r="24">
      <c r="A24" t="inlineStr">
        <is>
          <t>Education/Training Costs</t>
        </is>
      </c>
      <c r="B24" s="4" t="n">
        <v>0</v>
      </c>
      <c r="C24" t="inlineStr">
        <is>
          <t>Max CHF 13,000 (post-secondary)</t>
        </is>
      </c>
    </row>
    <row r="25">
      <c r="A25" t="inlineStr">
        <is>
          <t>Mortgage Interest</t>
        </is>
      </c>
      <c r="B25" s="4" t="n">
        <v>0</v>
      </c>
      <c r="C25" t="inlineStr">
        <is>
          <t>Until 2028 (Eigenmietwert reform)</t>
        </is>
      </c>
    </row>
    <row r="26">
      <c r="A26" t="inlineStr">
        <is>
          <t>Property Maintenance Costs</t>
        </is>
      </c>
      <c r="B26" s="4" t="n">
        <v>0</v>
      </c>
      <c r="C26" t="inlineStr">
        <is>
          <t>Until 2028 (Eigenmietwert reform)</t>
        </is>
      </c>
    </row>
    <row r="27">
      <c r="A27" t="inlineStr">
        <is>
          <t>Donations to Charities</t>
        </is>
      </c>
      <c r="B27" s="4" t="n">
        <v>0</v>
      </c>
      <c r="C27" t="inlineStr">
        <is>
          <t>Min CHF 100, Max 20% of income</t>
        </is>
      </c>
    </row>
    <row r="28">
      <c r="A28" t="inlineStr">
        <is>
          <t>Political Donations</t>
        </is>
      </c>
      <c r="B28" s="4" t="n">
        <v>0</v>
      </c>
      <c r="C28" t="inlineStr">
        <is>
          <t>Max CHF 10,600</t>
        </is>
      </c>
    </row>
    <row r="29">
      <c r="A29" t="inlineStr">
        <is>
          <t>Loan Interest (Credit Cards, Personal Loans)</t>
        </is>
      </c>
      <c r="B29" s="4" t="n">
        <v>0</v>
      </c>
      <c r="C29" t="inlineStr">
        <is>
          <t>All loan interest is deductible</t>
        </is>
      </c>
    </row>
    <row r="30">
      <c r="A30" t="inlineStr">
        <is>
          <t>Childcare Costs</t>
        </is>
      </c>
      <c r="B30" s="4" t="n">
        <v>0</v>
      </c>
      <c r="C30" t="inlineStr">
        <is>
          <t>Max CHF 25,800 (federal)</t>
        </is>
      </c>
    </row>
    <row r="31">
      <c r="A31" t="inlineStr">
        <is>
          <t>Other Deductions</t>
        </is>
      </c>
      <c r="B31" s="4" t="n">
        <v>0</v>
      </c>
      <c r="C31" t="inlineStr">
        <is>
          <t>Alimony, etc.</t>
        </is>
      </c>
    </row>
    <row r="32">
      <c r="A32" t="inlineStr">
        <is>
          <t>Social Security (AHV/IV/EO + ALV)</t>
        </is>
      </c>
      <c r="B32" s="6">
        <f>B6+B7</f>
        <v/>
      </c>
      <c r="C32" s="7" t="inlineStr">
        <is>
          <t>Auto-calculated from salary</t>
        </is>
      </c>
    </row>
    <row r="33">
      <c r="A33" t="inlineStr">
        <is>
          <t>TOTAL DEDUCTIONS</t>
        </is>
      </c>
      <c r="B33" s="8">
        <f>SUM(B15:B31)+B32</f>
        <v/>
      </c>
    </row>
    <row r="35" ht="25" customHeight="1">
      <c r="A35" s="3" t="inlineStr">
        <is>
          <t>C. TAXABLE INCOME</t>
        </is>
      </c>
    </row>
    <row r="36">
      <c r="A36" t="inlineStr">
        <is>
          <t>Gross Income</t>
        </is>
      </c>
      <c r="B36" s="6">
        <f>B12</f>
        <v/>
      </c>
    </row>
    <row r="37">
      <c r="A37" t="inlineStr">
        <is>
          <t>Minus: Total Deductions</t>
        </is>
      </c>
      <c r="B37" s="6">
        <f>-B33</f>
        <v/>
      </c>
    </row>
    <row r="38">
      <c r="A38" t="inlineStr">
        <is>
          <t>TAXABLE INCOME</t>
        </is>
      </c>
      <c r="B38" s="10">
        <f>B12-B33</f>
        <v/>
      </c>
    </row>
    <row r="40" ht="25" customHeight="1">
      <c r="A40" s="3" t="inlineStr">
        <is>
          <t>D. TAX CALCULATIONS</t>
        </is>
      </c>
    </row>
    <row r="41">
      <c r="A41" t="inlineStr">
        <is>
          <t>Federal Direct Tax</t>
        </is>
      </c>
      <c r="B41" s="11">
        <f>IF(B38&lt;=15200,0,
IF(B38&lt;=32800,(B38-15000)*0.0077,
IF(B38&lt;=42900,137.05+(B38-32800)*0.0088,
IF(B38&lt;=57200,225.90+(B38-42900)*0.0264,
IF(B38&lt;=75300,603.40+(B38-57200)*0.0297,
IF(B38&lt;=103400,1140.90+(B38-75300)*0.0594,
IF(B38&lt;=134600,2811.30+(B38-103400)*0.066,
IF(B38&lt;=176000,4870.50+(B38-134600)*0.088,
IF(B38&lt;=755200,8513.70+(B38-176000)*0.11,
90198.90+(B38-755200)*0.115)))))))</f>
        <v/>
      </c>
      <c r="C41" s="5" t="inlineStr">
        <is>
          <t>Based on Article 36 DBG (Single)</t>
        </is>
      </c>
    </row>
    <row r="42">
      <c r="A42" t="inlineStr">
        <is>
          <t>Federal Tax Rate (%)</t>
        </is>
      </c>
      <c r="B42" s="12">
        <f>IF(B38&gt;0,B41/B38*100,0)</f>
        <v/>
      </c>
    </row>
    <row r="44">
      <c r="A44" t="inlineStr">
        <is>
          <t>Zürich Cantonal Tax (Estimated)</t>
        </is>
      </c>
      <c r="B44" s="11">
        <f>B41*2.5</f>
        <v/>
      </c>
      <c r="C44" s="13" t="inlineStr">
        <is>
          <t>Approximate rate (2.5x federal)</t>
        </is>
      </c>
    </row>
    <row r="45">
      <c r="A45" t="inlineStr">
        <is>
          <t>Cantonal Tax Rate (%)</t>
        </is>
      </c>
      <c r="B45" s="12">
        <f>IF(B38&gt;0,B44/B38*100,0)</f>
        <v/>
      </c>
    </row>
    <row r="47">
      <c r="A47" t="inlineStr">
        <is>
          <t>City of Zürich Municipal Tax</t>
        </is>
      </c>
      <c r="B47" s="11">
        <f>B44*1.19</f>
        <v/>
      </c>
      <c r="C47" s="5" t="inlineStr">
        <is>
          <t>119% multiplier for City of Zürich</t>
        </is>
      </c>
    </row>
    <row r="48">
      <c r="A48" t="inlineStr">
        <is>
          <t>Municipal Tax Rate (%)</t>
        </is>
      </c>
      <c r="B48" s="12">
        <f>IF(B38&gt;0,B47/B38*100,0)</f>
        <v/>
      </c>
    </row>
    <row r="50" ht="25" customHeight="1">
      <c r="A50" s="3" t="inlineStr">
        <is>
          <t>E. WEALTH TAX</t>
        </is>
      </c>
    </row>
    <row r="51">
      <c r="A51" t="inlineStr">
        <is>
          <t>Securities/Investments (Dec 31 value)</t>
        </is>
      </c>
      <c r="B51" s="4" t="n">
        <v>0</v>
      </c>
    </row>
    <row r="52">
      <c r="A52" t="inlineStr">
        <is>
          <t>Bank Accounts/Cash</t>
        </is>
      </c>
      <c r="B52" s="4" t="n">
        <v>0</v>
      </c>
    </row>
    <row r="53">
      <c r="A53" t="inlineStr">
        <is>
          <t>Real Estate Value (Tax Value)</t>
        </is>
      </c>
      <c r="B53" s="4" t="n">
        <v>0</v>
      </c>
    </row>
    <row r="54">
      <c r="A54" t="inlineStr">
        <is>
          <t>Other Assets</t>
        </is>
      </c>
      <c r="B54" s="4" t="n">
        <v>0</v>
      </c>
    </row>
    <row r="55">
      <c r="A55" t="inlineStr">
        <is>
          <t>Minus: Debts (Mortgages, Loans)</t>
        </is>
      </c>
      <c r="B55" s="4" t="n">
        <v>0</v>
      </c>
    </row>
    <row r="56">
      <c r="A56" t="inlineStr">
        <is>
          <t>Gross Wealth</t>
        </is>
      </c>
      <c r="B56" s="6">
        <f>B51+B52+B53+B54</f>
        <v/>
      </c>
    </row>
    <row r="57">
      <c r="A57" t="inlineStr">
        <is>
          <t>Net Wealth</t>
        </is>
      </c>
      <c r="B57" s="14">
        <f>B56-B55</f>
        <v/>
      </c>
    </row>
    <row r="58">
      <c r="A58" t="inlineStr">
        <is>
          <t>Zürich Wealth Tax</t>
        </is>
      </c>
      <c r="B58" s="11">
        <f>IF(B57&lt;=77000,0,
IF(B57&lt;=308000,(B57-77000)*0.0005*1.19,
IF(B57&lt;=3158000,115.50+({wealth_cell}-308000)*0.001*1.19,
3391.50+(B57-3158000)*0.003*1.19)))</f>
        <v/>
      </c>
      <c r="C58" s="5" t="inlineStr">
        <is>
          <t>Includes cantonal + municipal (1.19x)</t>
        </is>
      </c>
    </row>
    <row r="59">
      <c r="A59" t="inlineStr">
        <is>
          <t>Wealth Tax Rate (%)</t>
        </is>
      </c>
      <c r="B59" s="15">
        <f>IF(B57&gt;0,B58/B57*100,0)</f>
        <v/>
      </c>
    </row>
    <row r="61" ht="25" customHeight="1">
      <c r="A61" s="16" t="inlineStr">
        <is>
          <t>F. TOTAL TAX SUMMARY</t>
        </is>
      </c>
    </row>
    <row r="62">
      <c r="A62" t="inlineStr">
        <is>
          <t>Federal Tax</t>
        </is>
      </c>
      <c r="B62" s="17">
        <f>B41</f>
        <v/>
      </c>
    </row>
    <row r="63">
      <c r="A63" t="inlineStr">
        <is>
          <t>Cantonal Tax (Zürich)</t>
        </is>
      </c>
      <c r="B63" s="17">
        <f>B44</f>
        <v/>
      </c>
    </row>
    <row r="64">
      <c r="A64" t="inlineStr">
        <is>
          <t>Municipal Tax (City Zürich)</t>
        </is>
      </c>
      <c r="B64" s="17">
        <f>B47</f>
        <v/>
      </c>
    </row>
    <row r="65">
      <c r="A65" t="inlineStr">
        <is>
          <t>Wealth Tax</t>
        </is>
      </c>
      <c r="B65" s="17">
        <f>B58</f>
        <v/>
      </c>
    </row>
    <row r="66">
      <c r="A66" t="inlineStr">
        <is>
          <t>═══════════════════════════════</t>
        </is>
      </c>
    </row>
    <row r="67">
      <c r="A67" t="inlineStr">
        <is>
          <t>TOTAL ANNUAL TAX</t>
        </is>
      </c>
      <c r="B67" s="18">
        <f>B41+B44+B47+B58</f>
        <v/>
      </c>
    </row>
    <row r="68">
      <c r="A68" t="inlineStr">
        <is>
          <t>Effective Tax Rate</t>
        </is>
      </c>
      <c r="B68" s="19">
        <f>IF(B12&gt;0,B67/B12*100,0)</f>
        <v/>
      </c>
    </row>
    <row r="70">
      <c r="A70" t="inlineStr">
        <is>
          <t>Net Income After Tax</t>
        </is>
      </c>
      <c r="B70" s="20">
        <f>B12-B67</f>
        <v/>
      </c>
    </row>
    <row r="71">
      <c r="A71" t="inlineStr">
        <is>
          <t>Monthly Net Income</t>
        </is>
      </c>
      <c r="B71" s="20">
        <f>(B12-B67)/12</f>
        <v/>
      </c>
    </row>
    <row r="73">
      <c r="A73" s="21" t="inlineStr">
        <is>
          <t>NOTE: Cantonal tax is estimated (2.5x federal). For exact calculations, use official Zürich tax calculator.</t>
        </is>
      </c>
    </row>
  </sheetData>
  <mergeCells count="9">
    <mergeCell ref="A35:E35"/>
    <mergeCell ref="A4:E4"/>
    <mergeCell ref="A50:E50"/>
    <mergeCell ref="A2:E2"/>
    <mergeCell ref="A1:E1"/>
    <mergeCell ref="A14:E14"/>
    <mergeCell ref="A61:E61"/>
    <mergeCell ref="A40:E40"/>
    <mergeCell ref="A73:C73"/>
  </mergeCells>
  <dataValidations count="1">
    <dataValidation sqref="B15" showDropDown="0" showInputMessage="0" showErrorMessage="0" allowBlank="0" errorTitle="Invalid Amount" error="Pillar 3a maximum is CHF 7,258 for 2025" type="decimal" operator="lessThanOrEqual">
      <formula1>7258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22" t="inlineStr">
        <is>
          <t>TAX BRACKETS REFERENCE 2025</t>
        </is>
      </c>
    </row>
    <row r="3">
      <c r="A3" s="23" t="inlineStr">
        <is>
          <t>FEDERAL TAX BRACKETS (Article 36 DBG - Single)</t>
        </is>
      </c>
    </row>
    <row r="4">
      <c r="A4" t="inlineStr">
        <is>
          <t>CHF 0 - 15,200</t>
        </is>
      </c>
      <c r="B4" t="inlineStr">
        <is>
          <t>0%</t>
        </is>
      </c>
      <c r="C4" s="5" t="inlineStr">
        <is>
          <t>Tax-free threshold</t>
        </is>
      </c>
    </row>
    <row r="5">
      <c r="A5" t="inlineStr">
        <is>
          <t>CHF 15,200 - 32,800</t>
        </is>
      </c>
      <c r="B5" t="inlineStr">
        <is>
          <t>0.77%</t>
        </is>
      </c>
      <c r="C5" s="5" t="inlineStr">
        <is>
          <t>Per CHF 100 over CHF 15,000</t>
        </is>
      </c>
    </row>
    <row r="6">
      <c r="A6" t="inlineStr">
        <is>
          <t>CHF 32,800 - 42,900</t>
        </is>
      </c>
      <c r="B6" t="inlineStr">
        <is>
          <t>0.88%</t>
        </is>
      </c>
      <c r="C6" s="5" t="inlineStr">
        <is>
          <t>Per CHF 100 over CHF 32,800</t>
        </is>
      </c>
    </row>
    <row r="7">
      <c r="A7" t="inlineStr">
        <is>
          <t>CHF 42,900 - 57,200</t>
        </is>
      </c>
      <c r="B7" t="inlineStr">
        <is>
          <t>2.64%</t>
        </is>
      </c>
      <c r="C7" s="5" t="inlineStr">
        <is>
          <t>Per CHF 100 over CHF 42,900</t>
        </is>
      </c>
    </row>
    <row r="8">
      <c r="A8" t="inlineStr">
        <is>
          <t>CHF 57,200 - 75,300</t>
        </is>
      </c>
      <c r="B8" t="inlineStr">
        <is>
          <t>2.97%</t>
        </is>
      </c>
      <c r="C8" s="5" t="inlineStr">
        <is>
          <t>Per CHF 100 over CHF 57,200</t>
        </is>
      </c>
    </row>
    <row r="9">
      <c r="A9" t="inlineStr">
        <is>
          <t>CHF 75,300 - 103,400</t>
        </is>
      </c>
      <c r="B9" t="inlineStr">
        <is>
          <t>5.94%</t>
        </is>
      </c>
      <c r="C9" s="5" t="inlineStr">
        <is>
          <t>Per CHF 100 over CHF 75,300</t>
        </is>
      </c>
    </row>
    <row r="10">
      <c r="A10" t="inlineStr">
        <is>
          <t>CHF 103,400 - 134,600</t>
        </is>
      </c>
      <c r="B10" t="inlineStr">
        <is>
          <t>6.60%</t>
        </is>
      </c>
      <c r="C10" s="5" t="inlineStr">
        <is>
          <t>Per CHF 100 over CHF 103,400</t>
        </is>
      </c>
    </row>
    <row r="11">
      <c r="A11" t="inlineStr">
        <is>
          <t>CHF 134,600 - 176,000</t>
        </is>
      </c>
      <c r="B11" t="inlineStr">
        <is>
          <t>8.80%</t>
        </is>
      </c>
      <c r="C11" s="5" t="inlineStr">
        <is>
          <t>Per CHF 100 over CHF 134,600</t>
        </is>
      </c>
    </row>
    <row r="12">
      <c r="A12" t="inlineStr">
        <is>
          <t>CHF 176,000 - 755,200</t>
        </is>
      </c>
      <c r="B12" t="inlineStr">
        <is>
          <t>11.00%</t>
        </is>
      </c>
      <c r="C12" s="5" t="inlineStr">
        <is>
          <t>Per CHF 100 over CHF 176,000</t>
        </is>
      </c>
    </row>
    <row r="13">
      <c r="A13" t="inlineStr">
        <is>
          <t>CHF 755,200+</t>
        </is>
      </c>
      <c r="B13" t="inlineStr">
        <is>
          <t>11.50%</t>
        </is>
      </c>
      <c r="C13" s="5" t="inlineStr">
        <is>
          <t>Maximum rate (effective)</t>
        </is>
      </c>
    </row>
    <row r="16">
      <c r="A16" s="23" t="inlineStr">
        <is>
          <t>ZÜRICH WEALTH TAX (Cantonal + Municipal)</t>
        </is>
      </c>
    </row>
    <row r="17">
      <c r="A17" t="inlineStr">
        <is>
          <t>CHF 0 - 77,000</t>
        </is>
      </c>
      <c r="B17" t="inlineStr">
        <is>
          <t>0%</t>
        </is>
      </c>
      <c r="C17" s="5" t="inlineStr">
        <is>
          <t>Tax-free (cantonal exemption)</t>
        </is>
      </c>
    </row>
    <row r="18">
      <c r="A18" t="inlineStr">
        <is>
          <t>CHF 77,000 - 308,000</t>
        </is>
      </c>
      <c r="B18" t="inlineStr">
        <is>
          <t>0.05%</t>
        </is>
      </c>
      <c r="C18" s="5" t="inlineStr">
        <is>
          <t>0.5 CHF per 1,000 CHF × 1.19 municipal</t>
        </is>
      </c>
    </row>
    <row r="19">
      <c r="A19" t="inlineStr">
        <is>
          <t>CHF 308,000 - 3,158,000</t>
        </is>
      </c>
      <c r="B19" t="inlineStr">
        <is>
          <t>0.1%</t>
        </is>
      </c>
      <c r="C19" s="5" t="inlineStr">
        <is>
          <t>1 CHF per 1,000 CHF × 1.19 municipal</t>
        </is>
      </c>
    </row>
    <row r="20">
      <c r="A20" t="inlineStr">
        <is>
          <t>CHF 3,158,000+</t>
        </is>
      </c>
      <c r="B20" t="inlineStr">
        <is>
          <t>0.3%</t>
        </is>
      </c>
      <c r="C20" s="5" t="inlineStr">
        <is>
          <t>3 CHF per 1,000 CHF × 1.19 municipal</t>
        </is>
      </c>
    </row>
    <row r="23">
      <c r="A23" s="24" t="inlineStr">
        <is>
          <t>City of Zürich Municipal Multiplier: 119% (1.19)</t>
        </is>
      </c>
    </row>
    <row r="25">
      <c r="A25" s="23" t="inlineStr">
        <is>
          <t>SOCIAL SECURITY CONTRIBUTIONS (2025)</t>
        </is>
      </c>
    </row>
    <row r="26">
      <c r="A26" t="inlineStr">
        <is>
          <t>AHV/IV/EO</t>
        </is>
      </c>
      <c r="B26" t="inlineStr">
        <is>
          <t>5.30%</t>
        </is>
      </c>
      <c r="C26" t="inlineStr">
        <is>
          <t>Employee contribution (no salary cap)</t>
        </is>
      </c>
    </row>
    <row r="27">
      <c r="A27" t="inlineStr">
        <is>
          <t>Unemployment ALV</t>
        </is>
      </c>
      <c r="B27" t="inlineStr">
        <is>
          <t>1.10%</t>
        </is>
      </c>
      <c r="C27" t="inlineStr">
        <is>
          <t>Employee contribution (up to CHF 148,200)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2" t="inlineStr">
        <is>
          <t>TAX OPTIMIZATION TIPS FOR 2025</t>
        </is>
      </c>
    </row>
    <row r="3">
      <c r="A3" s="25" t="inlineStr">
        <is>
          <t>• MAXIMIZE PILLAR 3a</t>
        </is>
      </c>
    </row>
    <row r="4" ht="30" customHeight="1">
      <c r="A4" s="26" t="inlineStr">
        <is>
          <t xml:space="preserve">  Contribute the maximum CHF 7,258 before Dec 31, 2025. This is the #1 tax deduction!</t>
        </is>
      </c>
    </row>
    <row r="6">
      <c r="A6" s="25" t="inlineStr">
        <is>
          <t>• PILLAR 2 BUYBACK</t>
        </is>
      </c>
    </row>
    <row r="7" ht="30" customHeight="1">
      <c r="A7" s="26" t="inlineStr">
        <is>
          <t xml:space="preserve">  If you have gaps in your pension, consider a Pillar 2 buyback (wait 3 years before withdrawal).</t>
        </is>
      </c>
    </row>
    <row r="9">
      <c r="A9" s="25" t="inlineStr">
        <is>
          <t>• MEAL DEDUCTIONS</t>
        </is>
      </c>
    </row>
    <row r="10" ht="30" customHeight="1">
      <c r="A10" s="26" t="inlineStr">
        <is>
          <t xml:space="preserve">  Don't forget to claim CHF 15/day for meals (or CHF 7.50 if you have a subsidized canteen).</t>
        </is>
      </c>
    </row>
    <row r="12">
      <c r="A12" s="25" t="inlineStr">
        <is>
          <t>• COMMUTING COSTS</t>
        </is>
      </c>
    </row>
    <row r="13" ht="30" customHeight="1">
      <c r="A13" s="26" t="inlineStr">
        <is>
          <t xml:space="preserve">  Deduct actual public transport costs or mileage-based deductions.</t>
        </is>
      </c>
    </row>
    <row r="15">
      <c r="A15" s="25" t="inlineStr">
        <is>
          <t>• HEALTH INSURANCE</t>
        </is>
      </c>
    </row>
    <row r="16" ht="30" customHeight="1">
      <c r="A16" s="26" t="inlineStr">
        <is>
          <t xml:space="preserve">  All health insurance premiums are deductible - include them!</t>
        </is>
      </c>
    </row>
    <row r="18">
      <c r="A18" s="25" t="inlineStr">
        <is>
          <t>• DONATIONS</t>
        </is>
      </c>
    </row>
    <row r="19" ht="30" customHeight="1">
      <c r="A19" s="26" t="inlineStr">
        <is>
          <t xml:space="preserve">  Charitable donations: min CHF 100, max 20% of income. Political donations: max CHF 10,600.</t>
        </is>
      </c>
    </row>
    <row r="21">
      <c r="A21" s="25" t="inlineStr">
        <is>
          <t>• LOAN INTEREST</t>
        </is>
      </c>
    </row>
    <row r="22" ht="30" customHeight="1">
      <c r="A22" s="26" t="inlineStr">
        <is>
          <t xml:space="preserve">  ALL loan interest is deductible: mortgages, personal loans, credit cards.</t>
        </is>
      </c>
    </row>
    <row r="24">
      <c r="A24" s="25" t="inlineStr">
        <is>
          <t>• ASSET MANAGEMENT</t>
        </is>
      </c>
    </row>
    <row r="25" ht="30" customHeight="1">
      <c r="A25" s="26" t="inlineStr">
        <is>
          <t xml:space="preserve">  Flat-rate deduction of 3‰ (0.3%) for securities portfolio management.</t>
        </is>
      </c>
    </row>
    <row r="27">
      <c r="A27" s="25" t="inlineStr">
        <is>
          <t>• EXPECTED FEDERAL TAX</t>
        </is>
      </c>
    </row>
    <row r="28" ht="30" customHeight="1">
      <c r="A28" s="26" t="inlineStr">
        <is>
          <t xml:space="preserve">  Deduct expected federal tax as a debt from your wealth to reduce wealth tax.</t>
        </is>
      </c>
    </row>
    <row r="30">
      <c r="A30" s="25" t="inlineStr">
        <is>
          <t>• EDUCATION COSTS</t>
        </is>
      </c>
    </row>
    <row r="31" ht="30" customHeight="1">
      <c r="A31" s="26" t="inlineStr">
        <is>
          <t xml:space="preserve">  Post-secondary education: up to CHF 13,000/year deductible.</t>
        </is>
      </c>
    </row>
    <row r="33">
      <c r="A33" s="25" t="inlineStr">
        <is>
          <t>• WEALTH TAX REDUCTION</t>
        </is>
      </c>
    </row>
    <row r="34" ht="30" customHeight="1">
      <c r="A34" s="26" t="inlineStr">
        <is>
          <t xml:space="preserve">  Maximize Pillar 2/3a contributions - these assets are exempt from wealth tax!</t>
        </is>
      </c>
    </row>
    <row r="36">
      <c r="A36" s="25" t="inlineStr">
        <is>
          <t>• CAPITAL GAINS</t>
        </is>
      </c>
    </row>
    <row r="37" ht="30" customHeight="1">
      <c r="A37" s="26" t="inlineStr">
        <is>
          <t xml:space="preserve">  Hold securities 6+ months and keep trading under 5× portfolio value to keep capital gains tax-free.</t>
        </is>
      </c>
    </row>
    <row r="39">
      <c r="A39" s="25" t="inlineStr">
        <is>
          <t>• DECEMBER 31 DEADLINE</t>
        </is>
      </c>
    </row>
    <row r="40" ht="30" customHeight="1">
      <c r="A40" s="26" t="inlineStr">
        <is>
          <t xml:space="preserve">  Pillar 3a and other payments must be made by Dec 31 to count for that tax year.</t>
        </is>
      </c>
    </row>
    <row r="42">
      <c r="A42" s="25" t="inlineStr">
        <is>
          <t>• PROPERTY DEDUCTIONS</t>
        </is>
      </c>
    </row>
    <row r="43" ht="30" customHeight="1">
      <c r="A43" s="26" t="inlineStr">
        <is>
          <t xml:space="preserve">  Until 2028: mortgage interest and maintenance costs are deductible (Eigenmietwert reform).</t>
        </is>
      </c>
    </row>
    <row r="45">
      <c r="A45" s="25" t="inlineStr">
        <is>
          <t>• VERIFY WITH OFFICIAL CALCULATOR</t>
        </is>
      </c>
    </row>
    <row r="46" ht="30" customHeight="1">
      <c r="A46" s="26" t="inlineStr">
        <is>
          <t xml:space="preserve">  Always verify calculations with estv.admin.ch or comparis.ch tax calculator.</t>
        </is>
      </c>
    </row>
    <row r="50">
      <c r="A50" s="27" t="inlineStr">
        <is>
          <t>IMPORTANT DATES</t>
        </is>
      </c>
    </row>
    <row r="51">
      <c r="A51" s="28" t="inlineStr">
        <is>
          <t>• December 31, 2025: Last day for Pillar 3a contributions</t>
        </is>
      </c>
    </row>
    <row r="52">
      <c r="A52" s="28" t="inlineStr">
        <is>
          <t>• December 31, 2025: Securities assessed for wealth tax</t>
        </is>
      </c>
    </row>
    <row r="53">
      <c r="A53" s="28" t="inlineStr">
        <is>
          <t>• March 31, 2026: Typical tax return deadline (check your canton)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2" t="inlineStr">
        <is>
          <t>HOW TO USE THIS TAX CALCULATOR</t>
        </is>
      </c>
    </row>
    <row r="3">
      <c r="A3" s="23" t="inlineStr">
        <is>
          <t>STEP 1: ENTER YOUR INCOME</t>
        </is>
      </c>
    </row>
    <row r="4" ht="80" customHeight="1">
      <c r="A4" s="29" t="inlineStr">
        <is>
          <t>Go to the 'Tax Calculator' sheet and enter your gross annual salary in Section A. Social security deductions (AHV/IV/EO and ALV) will be calculated automatically.</t>
        </is>
      </c>
    </row>
    <row r="6">
      <c r="A6" s="23" t="inlineStr">
        <is>
          <t>STEP 2: ENTER DEDUCTIONS</t>
        </is>
      </c>
    </row>
    <row r="7" ht="80" customHeight="1">
      <c r="A7" s="29" t="inlineStr">
        <is>
          <t>In Section B, enter all your deductions:
• Pillar 3a contributions (max CHF 7,258)
• Health insurance premiums (actual amount)
• Working days and meal rate for meal deductions
• Any other applicable deductions</t>
        </is>
      </c>
    </row>
    <row r="9">
      <c r="A9" s="23" t="inlineStr">
        <is>
          <t>STEP 3: ENTER WEALTH INFORMATION</t>
        </is>
      </c>
    </row>
    <row r="10" ht="80" customHeight="1">
      <c r="A10" s="29" t="inlineStr">
        <is>
          <t>In Section E, enter your wealth as of December 31:
• Securities/investments
• Bank accounts and cash
• Real estate (at tax value)
• Debts (mortgages, loans)</t>
        </is>
      </c>
    </row>
    <row r="12">
      <c r="A12" s="23" t="inlineStr">
        <is>
          <t>STEP 4: REVIEW RESULTS</t>
        </is>
      </c>
    </row>
    <row r="13" ht="80" customHeight="1">
      <c r="A13" s="29" t="inlineStr">
        <is>
          <t>Section F shows your complete tax summary:
• Federal, cantonal, municipal, and wealth taxes
• Total annual tax and effective rate
• Net income after tax</t>
        </is>
      </c>
    </row>
    <row r="15">
      <c r="A15" s="23" t="inlineStr">
        <is>
          <t>COLOR CODING</t>
        </is>
      </c>
    </row>
    <row r="16" ht="80" customHeight="1">
      <c r="A16" s="29" t="inlineStr">
        <is>
          <t>• BLUE cells: Enter your data here
• GREEN cells: Auto-calculated (don't edit)
• YELLOW cells: Results and summaries</t>
        </is>
      </c>
    </row>
    <row r="18">
      <c r="A18" s="23" t="inlineStr">
        <is>
          <t>IMPORTANT NOTES</t>
        </is>
      </c>
    </row>
    <row r="19" ht="80" customHeight="1">
      <c r="A19" s="29" t="inlineStr">
        <is>
          <t>• Cantonal tax is ESTIMATED (2.5× federal tax). Use official calculators for precise amounts.
• This calculator is for CITY OF ZÜRICH only (119% municipal multiplier).
• Always verify with official tools: estv.admin.ch or comparis.ch
• For exact cantonal rates, consult Zürich tax authority.</t>
        </is>
      </c>
    </row>
    <row r="21">
      <c r="A21" s="23" t="inlineStr">
        <is>
          <t>SCENARIO COMPARISON</t>
        </is>
      </c>
    </row>
    <row r="22" ht="80" customHeight="1">
      <c r="A22" s="29" t="inlineStr">
        <is>
          <t>To compare scenarios (e.g., with/without max Pillar 3a):
1. Copy column B to column D
2. Change the input values in column D
3. Compare the results side-by-side</t>
        </is>
      </c>
    </row>
    <row r="24">
      <c r="A24" s="23" t="inlineStr">
        <is>
          <t>SOURCES &amp; VERIFICATION</t>
        </is>
      </c>
    </row>
    <row r="25" ht="80" customHeight="1">
      <c r="A25" s="29" t="inlineStr">
        <is>
          <t>• Federal tax: Official Form 58c (ESTV)
• Zürich wealth tax: karpeo.ch, The Poor Swiss
• Social security rates: ESTV, UZH
• Verify calculations: estv.admin.ch/calculator</t>
        </is>
      </c>
    </row>
    <row r="29">
      <c r="A29" s="7" t="inlineStr">
        <is>
          <t>For questions or issues, consult a Swiss tax advisor or your cantonal tax office.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2025-12-19T13:20:44Z</dcterms:created>
  <dcterms:modified xsi:type="dcterms:W3CDTF">2025-12-19T13:20:44Z</dcterms:modified>
</cp:coreProperties>
</file>